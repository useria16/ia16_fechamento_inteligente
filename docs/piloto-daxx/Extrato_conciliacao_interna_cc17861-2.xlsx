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axxmidiacom-my.sharepoint.com/personal/cristina_oliveira_daxx_com_br/Documents/Área de Trabalho/"/>
    </mc:Choice>
  </mc:AlternateContent>
  <xr:revisionPtr revIDLastSave="61" documentId="8_{B20EA3B7-C40F-4B83-901A-9418254CD9F5}" xr6:coauthVersionLast="47" xr6:coauthVersionMax="47" xr10:uidLastSave="{D5DF5C93-80D5-4040-808B-DEC0DFCE50F3}"/>
  <bookViews>
    <workbookView xWindow="-108" yWindow="-108" windowWidth="23256" windowHeight="12456" xr2:uid="{00000000-000D-0000-FFFF-FFFF00000000}"/>
  </bookViews>
  <sheets>
    <sheet name="Maio26" sheetId="1" r:id="rId1"/>
  </sheets>
  <definedNames>
    <definedName name="_xlnm._FilterDatabase" localSheetId="0" hidden="1">Maio26!$A$13:$H$14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6" i="1" s="1"/>
  <c r="H17" i="1" s="1"/>
  <c r="H18" i="1" s="1"/>
  <c r="H19" i="1" s="1"/>
  <c r="H20" i="1" s="1"/>
  <c r="H21" i="1" s="1"/>
  <c r="H22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</calcChain>
</file>

<file path=xl/sharedStrings.xml><?xml version="1.0" encoding="utf-8"?>
<sst xmlns="http://schemas.openxmlformats.org/spreadsheetml/2006/main" count="90" uniqueCount="62">
  <si>
    <t>SISPAG FORNECEDORES</t>
  </si>
  <si>
    <t>Atualização:</t>
  </si>
  <si>
    <t>03/01/2025 às 09:11:34h</t>
  </si>
  <si>
    <t>Nome:</t>
  </si>
  <si>
    <t>DAXX MIDIA LTDA</t>
  </si>
  <si>
    <t>Agência:</t>
  </si>
  <si>
    <t>Conta:</t>
  </si>
  <si>
    <t>17861</t>
  </si>
  <si>
    <t>DATA</t>
  </si>
  <si>
    <t>DESCRIÇÃO LANÇAMENTO BANCO</t>
  </si>
  <si>
    <t>DESCRIÇÃO FORNECEDOR/CLIENTE</t>
  </si>
  <si>
    <t>NF / DOC</t>
  </si>
  <si>
    <t>VALOR NF/DOC</t>
  </si>
  <si>
    <t>ENTRADA EXTRATO</t>
  </si>
  <si>
    <t>SAIDA EXTRATO</t>
  </si>
  <si>
    <t>SALDO</t>
  </si>
  <si>
    <t>SALDO TOTAL DISPONÍVEL DIA</t>
  </si>
  <si>
    <t>PIX ENVIADO</t>
  </si>
  <si>
    <t>REND PAGO APLIC AUT APR</t>
  </si>
  <si>
    <t>AG.NOTA FISCAL</t>
  </si>
  <si>
    <t xml:space="preserve">RENDIMENTO APLICAÇÃO AUTOMÁTICA </t>
  </si>
  <si>
    <t>Periodo:  Maio/2026</t>
  </si>
  <si>
    <t>PAGAMENTOS TRANSF CC ITAU</t>
  </si>
  <si>
    <t>RECEBIMENTOS</t>
  </si>
  <si>
    <t>S/NOTA FISCAL</t>
  </si>
  <si>
    <t>SÓCIO</t>
  </si>
  <si>
    <t>PAGAMENTOS TRIB COD BARRAS</t>
  </si>
  <si>
    <t>PAGAMENTOS PIX QR-CODE</t>
  </si>
  <si>
    <t>PIX RECEBIDO BRENDA29/05</t>
  </si>
  <si>
    <t>RECEBIMENTOS 2880</t>
  </si>
  <si>
    <t>BOLETO PAGO PROGRESS INF</t>
  </si>
  <si>
    <t>PROGRESS INFORMATICA LTDA</t>
  </si>
  <si>
    <t>MARIA PAULA SAMPAIO BEZERRA</t>
  </si>
  <si>
    <t>CRISTINA ALVES DE OLIVEIRA</t>
  </si>
  <si>
    <t/>
  </si>
  <si>
    <t xml:space="preserve">LRC MIDIA OUT OF HOME -BV NEOOH - PARC 2 DE 3 </t>
  </si>
  <si>
    <t>BRENDA -OC 892</t>
  </si>
  <si>
    <t xml:space="preserve">INFOBIP BRASIL  ** PAGO PELA CAROL ** </t>
  </si>
  <si>
    <t xml:space="preserve">DAXX SOLUTIONS -DEVOLUÇÃO PAGAMENTO INFOBIP </t>
  </si>
  <si>
    <t>NADIR FIGUEIREDO - DEVOLUÇÃO VALOR RECEBIDO EM DUPLICIDADE NF. 2884</t>
  </si>
  <si>
    <t>CAROLINE BRAGA - PROLABORE MAI/26</t>
  </si>
  <si>
    <t xml:space="preserve">G M MURARO &amp; CIA(GYSLAINE) - COPY WRITTER - LINKEDIN PAULO BRAGA </t>
  </si>
  <si>
    <t>PED. 123950</t>
  </si>
  <si>
    <t xml:space="preserve">UNIAO FIALENSE - CAFÉ COM CHINESES( GILDA) </t>
  </si>
  <si>
    <t>DARF CSLL - 2A.PARC - 1º TRIM 2026</t>
  </si>
  <si>
    <t>DARF IRPJ - 2A.PARC - 1º TRIM 2026</t>
  </si>
  <si>
    <t xml:space="preserve">OFICINA DO SALGADO  - SALGADOS FESTA ANIVERSARIANTES MAIO </t>
  </si>
  <si>
    <t>SELMA APARECIDA SILVA - LIMPEZA 2A.QUINZ MAI/26</t>
  </si>
  <si>
    <t>ALINE FERREIRA DA SILVA - LIMPEZA - 2A.QUINZ MAI/26</t>
  </si>
  <si>
    <t xml:space="preserve">TT VILELA ( THAYANE) </t>
  </si>
  <si>
    <t xml:space="preserve">NOEMI CARVALHO - BV ABR -MAIO </t>
  </si>
  <si>
    <t>NOEMI CARVALHO  - FOLHA MAI/26</t>
  </si>
  <si>
    <t>CAROLINE MAY BANDEIRA BRAGA - RETIRADA MAI/26</t>
  </si>
  <si>
    <t>SÓCIA</t>
  </si>
  <si>
    <t>PAULO BRAGA - RETIRADAMAI/26</t>
  </si>
  <si>
    <t xml:space="preserve">LARISSA ASSIRATI DIAS - VENDA QUOTAS </t>
  </si>
  <si>
    <t>MERKPLANNING ( GILDA ) - BV ABR -MAIO</t>
  </si>
  <si>
    <t>GESSICA SILVA ALVES - FOLHA MAI/26</t>
  </si>
  <si>
    <t>MERKPLANNING ( GILDA ) - FOLHA MAI/26</t>
  </si>
  <si>
    <t>THAMIREZ REGINA LOPES - FOLHA MAI/26</t>
  </si>
  <si>
    <t>MARIA CANDIDA SACRAMENTO VIEGAS - FOLHA MAI/26</t>
  </si>
  <si>
    <t>REAC SERVICOS ( RENATO) - FOLHA MAI/26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</si>
</sst>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0000_-"/>
  </numFmts>
  <fonts count="16" x14ac:knownFonts="1">
    <font>
      <sz val="11"/>
      <color theme="1"/>
      <name val="Aptos Narrow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2"/>
      <name val="Aptos Narrow"/>
      <family val="2"/>
    </font>
    <font>
      <b/>
      <sz val="12"/>
      <name val="Arial"/>
      <family val="2"/>
    </font>
    <font>
      <sz val="11"/>
      <color theme="1"/>
      <name val="Aptos Narrow"/>
      <family val="2"/>
    </font>
    <font>
      <sz val="12"/>
      <name val="Arial"/>
      <family val="2"/>
    </font>
    <font>
      <b/>
      <sz val="14"/>
      <color theme="0"/>
      <name val="Aptos Narrow"/>
      <family val="2"/>
      <scheme val="minor"/>
    </font>
    <font>
      <b/>
      <sz val="12"/>
      <color theme="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1"/>
      <color rgb="FF00B05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0" fontId="13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4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164" fontId="4" fillId="0" borderId="0" xfId="0" applyNumberFormat="1" applyFont="1" applyAlignment="1">
      <alignment horizontal="left" vertical="center"/>
    </xf>
    <xf numFmtId="0" fontId="5" fillId="0" borderId="0" xfId="0" applyFont="1"/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4" fontId="1" fillId="2" borderId="1" xfId="1" applyFont="1" applyFill="1" applyBorder="1"/>
    <xf numFmtId="44" fontId="12" fillId="2" borderId="1" xfId="1" applyFont="1" applyFill="1" applyBorder="1"/>
    <xf numFmtId="44" fontId="11" fillId="0" borderId="1" xfId="1" applyFont="1" applyFill="1" applyBorder="1"/>
    <xf numFmtId="44" fontId="2" fillId="2" borderId="1" xfId="1" applyFont="1" applyFill="1" applyBorder="1"/>
    <xf numFmtId="14" fontId="9" fillId="4" borderId="6" xfId="0" applyNumberFormat="1" applyFont="1" applyFill="1" applyBorder="1" applyAlignment="1">
      <alignment horizontal="center" vertical="center"/>
    </xf>
    <xf numFmtId="44" fontId="9" fillId="4" borderId="8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44" fontId="11" fillId="0" borderId="9" xfId="1" applyFont="1" applyFill="1" applyBorder="1" applyAlignment="1">
      <alignment horizontal="center"/>
    </xf>
    <xf numFmtId="44" fontId="11" fillId="0" borderId="10" xfId="1" applyFont="1" applyFill="1" applyBorder="1" applyAlignment="1">
      <alignment horizontal="center"/>
    </xf>
    <xf numFmtId="164" fontId="4" fillId="0" borderId="0" xfId="0" applyNumberFormat="1" applyFont="1" applyAlignment="1">
      <alignment horizontal="left" vertical="center"/>
    </xf>
    <xf numFmtId="0" fontId="0" fillId="0" borderId="0" xfId="0"/>
  </cellXfs>
  <cellStyles count="3">
    <cellStyle name="Moeda" xfId="1" builtinId="4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685983</xdr:colOff>
      <xdr:row>4</xdr:row>
      <xdr:rowOff>58420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4678045" cy="789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A7" zoomScale="90" zoomScaleNormal="90" workbookViewId="0">
      <pane ySplit="7" topLeftCell="A32" activePane="bottomLeft" state="frozen"/>
      <selection pane="bottomLeft" activeCell="D42" sqref="D42"/>
    </sheetView>
  </sheetViews>
  <sheetFormatPr defaultColWidth="9" defaultRowHeight="14.4" x14ac:dyDescent="0.25"/>
  <cols>
    <col min="1" max="1" width="21.109375" bestFit="1" customWidth="1"/>
    <col min="2" max="2" width="36.88671875" customWidth="1"/>
    <col min="3" max="3" width="79.5546875" customWidth="1"/>
    <col min="4" max="4" width="20" customWidth="1"/>
    <col min="5" max="5" width="15.5546875" bestFit="1" customWidth="1"/>
    <col min="6" max="6" width="16.44140625" customWidth="1"/>
    <col min="7" max="7" width="15.5546875" bestFit="1" customWidth="1"/>
    <col min="8" max="8" width="18" customWidth="1"/>
    <col min="9" max="9" width="12.88671875" customWidth="1"/>
  </cols>
  <sheetData>
    <row r="1" spans="1:8" x14ac:dyDescent="0.25">
      <c r="A1" s="3">
        <v>45741</v>
      </c>
      <c r="B1" s="4" t="s">
        <v>0</v>
      </c>
    </row>
    <row r="6" spans="1:8" ht="15.6" x14ac:dyDescent="0.3">
      <c r="A6" s="5" t="s">
        <v>1</v>
      </c>
      <c r="B6" s="26" t="s">
        <v>2</v>
      </c>
      <c r="C6" s="27"/>
      <c r="D6" s="27"/>
      <c r="E6" s="7"/>
    </row>
    <row r="7" spans="1:8" ht="15.6" x14ac:dyDescent="0.3">
      <c r="A7" s="5" t="s">
        <v>3</v>
      </c>
      <c r="B7" s="6" t="s">
        <v>4</v>
      </c>
      <c r="E7" s="7"/>
    </row>
    <row r="8" spans="1:8" ht="15.6" x14ac:dyDescent="0.3">
      <c r="A8" s="5" t="s">
        <v>5</v>
      </c>
      <c r="B8" s="6">
        <v>285</v>
      </c>
      <c r="E8" s="7"/>
    </row>
    <row r="9" spans="1:8" ht="15.6" x14ac:dyDescent="0.3">
      <c r="A9" s="5" t="s">
        <v>6</v>
      </c>
      <c r="B9" s="26" t="s">
        <v>7</v>
      </c>
      <c r="C9" s="27"/>
      <c r="D9" s="27"/>
      <c r="E9" s="7"/>
    </row>
    <row r="10" spans="1:8" ht="9.6" customHeight="1" x14ac:dyDescent="0.25">
      <c r="B10" s="26"/>
      <c r="C10" s="27"/>
      <c r="D10" s="27"/>
    </row>
    <row r="11" spans="1:8" ht="15.6" x14ac:dyDescent="0.25">
      <c r="A11" s="8" t="s">
        <v>21</v>
      </c>
      <c r="B11" s="9"/>
      <c r="C11" s="9"/>
      <c r="D11" s="2"/>
      <c r="E11" s="2"/>
      <c r="F11" s="2"/>
      <c r="G11" s="2"/>
      <c r="H11" s="2"/>
    </row>
    <row r="12" spans="1:8" ht="5.4" customHeight="1" x14ac:dyDescent="0.25">
      <c r="A12" s="2"/>
      <c r="B12" s="2"/>
      <c r="C12" s="2"/>
      <c r="D12" s="2"/>
      <c r="E12" s="2"/>
      <c r="F12" s="2"/>
      <c r="G12" s="2"/>
      <c r="H12" s="2"/>
    </row>
    <row r="13" spans="1:8" s="1" customFormat="1" ht="37.200000000000003" customHeight="1" x14ac:dyDescent="0.25">
      <c r="A13" s="10" t="s">
        <v>8</v>
      </c>
      <c r="B13" s="11" t="s">
        <v>9</v>
      </c>
      <c r="C13" s="11" t="s">
        <v>10</v>
      </c>
      <c r="D13" s="11" t="s">
        <v>11</v>
      </c>
      <c r="E13" s="11" t="s">
        <v>12</v>
      </c>
      <c r="F13" s="11" t="s">
        <v>13</v>
      </c>
      <c r="G13" s="11" t="s">
        <v>14</v>
      </c>
      <c r="H13" s="12" t="s">
        <v>15</v>
      </c>
    </row>
    <row r="14" spans="1:8" x14ac:dyDescent="0.25">
      <c r="A14" s="18">
        <v>46170</v>
      </c>
      <c r="B14" s="23" t="s">
        <v>16</v>
      </c>
      <c r="C14" s="23"/>
      <c r="D14" s="23"/>
      <c r="E14" s="23"/>
      <c r="F14" s="23"/>
      <c r="G14" s="23"/>
      <c r="H14" s="19">
        <v>1000</v>
      </c>
    </row>
    <row r="15" spans="1:8" x14ac:dyDescent="0.25">
      <c r="A15" s="3">
        <v>46171</v>
      </c>
      <c r="B15" s="21" t="s">
        <v>27</v>
      </c>
      <c r="C15" s="21" t="s">
        <v>37</v>
      </c>
      <c r="D15" s="13"/>
      <c r="E15" s="14"/>
      <c r="F15" s="15"/>
      <c r="G15" s="16">
        <v>85</v>
      </c>
      <c r="H15" s="17">
        <f>H14+F15-G15</f>
        <v>915</v>
      </c>
    </row>
    <row r="16" spans="1:8" x14ac:dyDescent="0.25">
      <c r="A16" s="3">
        <v>46171</v>
      </c>
      <c r="B16" s="21" t="s">
        <v>23</v>
      </c>
      <c r="C16" s="21" t="s">
        <v>38</v>
      </c>
      <c r="D16" s="13"/>
      <c r="E16" s="14"/>
      <c r="F16" s="15">
        <v>85</v>
      </c>
      <c r="G16" s="16"/>
      <c r="H16" s="17">
        <f t="shared" ref="H16:H44" si="0">H15+F16-G16</f>
        <v>1000</v>
      </c>
    </row>
    <row r="17" spans="1:8" x14ac:dyDescent="0.25">
      <c r="A17" s="3">
        <v>46171</v>
      </c>
      <c r="B17" s="21" t="s">
        <v>28</v>
      </c>
      <c r="C17" s="22" t="s">
        <v>36</v>
      </c>
      <c r="D17" s="13"/>
      <c r="E17" s="14"/>
      <c r="F17" s="15">
        <v>44.26</v>
      </c>
      <c r="G17" s="16"/>
      <c r="H17" s="17">
        <f t="shared" si="0"/>
        <v>1044.26</v>
      </c>
    </row>
    <row r="18" spans="1:8" x14ac:dyDescent="0.25">
      <c r="A18" s="3">
        <v>46171</v>
      </c>
      <c r="B18" s="21" t="s">
        <v>29</v>
      </c>
      <c r="C18" s="22" t="s">
        <v>35</v>
      </c>
      <c r="D18" s="13">
        <v>2880</v>
      </c>
      <c r="E18" s="14"/>
      <c r="F18" s="15">
        <v>183</v>
      </c>
      <c r="G18" s="16"/>
      <c r="H18" s="17">
        <f t="shared" si="0"/>
        <v>1227.26</v>
      </c>
    </row>
    <row r="19" spans="1:8" x14ac:dyDescent="0.25">
      <c r="A19" s="3">
        <v>46171</v>
      </c>
      <c r="B19" s="21" t="s">
        <v>22</v>
      </c>
      <c r="C19" s="21" t="s">
        <v>39</v>
      </c>
      <c r="D19" s="13"/>
      <c r="E19" s="14"/>
      <c r="F19" s="15"/>
      <c r="G19" s="16">
        <v>149</v>
      </c>
      <c r="H19" s="17">
        <f t="shared" si="0"/>
        <v>1078.26</v>
      </c>
    </row>
    <row r="20" spans="1:8" x14ac:dyDescent="0.25">
      <c r="A20" s="3">
        <v>46171</v>
      </c>
      <c r="B20" s="21" t="s">
        <v>22</v>
      </c>
      <c r="C20" s="21" t="s">
        <v>40</v>
      </c>
      <c r="D20" s="13"/>
      <c r="E20" s="14"/>
      <c r="F20" s="15"/>
      <c r="G20" s="16">
        <v>195</v>
      </c>
      <c r="H20" s="17">
        <f t="shared" si="0"/>
        <v>883.26</v>
      </c>
    </row>
    <row r="21" spans="1:8" x14ac:dyDescent="0.25">
      <c r="A21" s="3">
        <v>46171</v>
      </c>
      <c r="B21" s="21" t="s">
        <v>22</v>
      </c>
      <c r="C21" s="21" t="s">
        <v>41</v>
      </c>
      <c r="D21" s="13">
        <v>16</v>
      </c>
      <c r="E21" s="14"/>
      <c r="F21" s="15"/>
      <c r="G21" s="16">
        <v>22</v>
      </c>
      <c r="H21" s="17">
        <f t="shared" si="0"/>
        <v>861.26</v>
      </c>
    </row>
    <row r="22" spans="1:8" x14ac:dyDescent="0.25">
      <c r="A22" s="3">
        <v>46171</v>
      </c>
      <c r="B22" s="21" t="s">
        <v>26</v>
      </c>
      <c r="C22" s="21" t="s">
        <v>44</v>
      </c>
      <c r="D22" s="13"/>
      <c r="E22" s="14">
        <v>20</v>
      </c>
      <c r="F22" s="15"/>
      <c r="G22" s="24">
        <v>78.8</v>
      </c>
      <c r="H22" s="17">
        <f t="shared" si="0"/>
        <v>782.46</v>
      </c>
    </row>
    <row r="23" spans="1:8" x14ac:dyDescent="0.25">
      <c r="A23" s="3">
        <v>46171</v>
      </c>
      <c r="B23" s="21" t="s">
        <v>26</v>
      </c>
      <c r="C23" s="21" t="s">
        <v>45</v>
      </c>
      <c r="D23" s="13"/>
      <c r="E23" s="14">
        <v>58.8</v>
      </c>
      <c r="F23" s="15"/>
      <c r="G23" s="25"/>
      <c r="H23" s="17"/>
    </row>
    <row r="24" spans="1:8" x14ac:dyDescent="0.25">
      <c r="A24" s="3">
        <v>46171</v>
      </c>
      <c r="B24" s="21" t="s">
        <v>30</v>
      </c>
      <c r="C24" s="22" t="s">
        <v>31</v>
      </c>
      <c r="D24" s="13">
        <v>4031</v>
      </c>
      <c r="E24" s="14"/>
      <c r="F24" s="15"/>
      <c r="G24" s="16">
        <v>244</v>
      </c>
      <c r="H24" s="17">
        <f>H22+F24-G24</f>
        <v>538.46</v>
      </c>
    </row>
    <row r="25" spans="1:8" x14ac:dyDescent="0.25">
      <c r="A25" s="3">
        <v>46171</v>
      </c>
      <c r="B25" s="21" t="s">
        <v>30</v>
      </c>
      <c r="C25" s="22" t="s">
        <v>31</v>
      </c>
      <c r="D25" s="13">
        <v>3667</v>
      </c>
      <c r="E25" s="14"/>
      <c r="F25" s="15"/>
      <c r="G25" s="16">
        <v>47.67</v>
      </c>
      <c r="H25" s="17">
        <f t="shared" si="0"/>
        <v>490.79</v>
      </c>
    </row>
    <row r="26" spans="1:8" x14ac:dyDescent="0.25">
      <c r="A26" s="3">
        <v>46171</v>
      </c>
      <c r="B26" s="21" t="s">
        <v>17</v>
      </c>
      <c r="C26" s="21" t="s">
        <v>46</v>
      </c>
      <c r="D26" s="13">
        <v>538</v>
      </c>
      <c r="E26" s="14"/>
      <c r="F26" s="15"/>
      <c r="G26" s="16">
        <v>144</v>
      </c>
      <c r="H26" s="17">
        <f t="shared" si="0"/>
        <v>346.79</v>
      </c>
    </row>
    <row r="27" spans="1:8" x14ac:dyDescent="0.25">
      <c r="A27" s="3">
        <v>46171</v>
      </c>
      <c r="B27" s="21" t="s">
        <v>17</v>
      </c>
      <c r="C27" s="22" t="s">
        <v>32</v>
      </c>
      <c r="D27" s="13">
        <v>6</v>
      </c>
      <c r="E27" s="14"/>
      <c r="F27" s="15"/>
      <c r="G27" s="16">
        <v>26</v>
      </c>
      <c r="H27" s="17">
        <f t="shared" si="0"/>
        <v>320.79000000000002</v>
      </c>
    </row>
    <row r="28" spans="1:8" x14ac:dyDescent="0.25">
      <c r="A28" s="3">
        <v>46171</v>
      </c>
      <c r="B28" s="21" t="s">
        <v>17</v>
      </c>
      <c r="C28" s="21" t="s">
        <v>50</v>
      </c>
      <c r="D28" s="20" t="s">
        <v>19</v>
      </c>
      <c r="E28" s="14"/>
      <c r="F28" s="15"/>
      <c r="G28" s="16">
        <v>66.3</v>
      </c>
      <c r="H28" s="17">
        <f t="shared" si="0"/>
        <v>254.49</v>
      </c>
    </row>
    <row r="29" spans="1:8" x14ac:dyDescent="0.25">
      <c r="A29" s="3">
        <v>46171</v>
      </c>
      <c r="B29" s="21" t="s">
        <v>17</v>
      </c>
      <c r="C29" s="21" t="s">
        <v>49</v>
      </c>
      <c r="D29" s="13">
        <v>59</v>
      </c>
      <c r="E29" s="14"/>
      <c r="F29" s="15"/>
      <c r="G29" s="16">
        <v>15.84</v>
      </c>
      <c r="H29" s="17">
        <f t="shared" si="0"/>
        <v>238.65</v>
      </c>
    </row>
    <row r="30" spans="1:8" x14ac:dyDescent="0.25">
      <c r="A30" s="3">
        <v>46171</v>
      </c>
      <c r="B30" s="21" t="s">
        <v>17</v>
      </c>
      <c r="C30" s="22" t="s">
        <v>33</v>
      </c>
      <c r="D30" s="13">
        <v>45</v>
      </c>
      <c r="E30" s="14"/>
      <c r="F30" s="15"/>
      <c r="G30" s="16">
        <v>14.4</v>
      </c>
      <c r="H30" s="17">
        <f t="shared" si="0"/>
        <v>224.25</v>
      </c>
    </row>
    <row r="31" spans="1:8" x14ac:dyDescent="0.25">
      <c r="A31" s="3">
        <v>46171</v>
      </c>
      <c r="B31" s="21" t="s">
        <v>17</v>
      </c>
      <c r="C31" s="21" t="s">
        <v>47</v>
      </c>
      <c r="D31" s="13" t="s">
        <v>24</v>
      </c>
      <c r="E31" s="14"/>
      <c r="F31" s="15"/>
      <c r="G31" s="16">
        <v>98</v>
      </c>
      <c r="H31" s="17">
        <f t="shared" si="0"/>
        <v>126.25</v>
      </c>
    </row>
    <row r="32" spans="1:8" x14ac:dyDescent="0.25">
      <c r="A32" s="3">
        <v>46171</v>
      </c>
      <c r="B32" s="21" t="s">
        <v>17</v>
      </c>
      <c r="C32" s="21" t="s">
        <v>51</v>
      </c>
      <c r="D32" s="20" t="s">
        <v>19</v>
      </c>
      <c r="E32" s="14"/>
      <c r="F32" s="15"/>
      <c r="G32" s="16">
        <v>15</v>
      </c>
      <c r="H32" s="17">
        <f t="shared" si="0"/>
        <v>111.25</v>
      </c>
    </row>
    <row r="33" spans="1:8" x14ac:dyDescent="0.25">
      <c r="A33" s="3">
        <v>46171</v>
      </c>
      <c r="B33" s="21" t="s">
        <v>17</v>
      </c>
      <c r="C33" s="21" t="s">
        <v>52</v>
      </c>
      <c r="D33" s="13" t="s">
        <v>53</v>
      </c>
      <c r="E33" s="14"/>
      <c r="F33" s="15"/>
      <c r="G33" s="16">
        <v>13</v>
      </c>
      <c r="H33" s="17">
        <f t="shared" si="0"/>
        <v>98.25</v>
      </c>
    </row>
    <row r="34" spans="1:8" x14ac:dyDescent="0.25">
      <c r="A34" s="3">
        <v>46171</v>
      </c>
      <c r="B34" s="21" t="s">
        <v>17</v>
      </c>
      <c r="C34" s="21" t="s">
        <v>54</v>
      </c>
      <c r="D34" s="13" t="s">
        <v>25</v>
      </c>
      <c r="E34" s="14"/>
      <c r="F34" s="15"/>
      <c r="G34" s="16">
        <v>50</v>
      </c>
      <c r="H34" s="17">
        <f t="shared" si="0"/>
        <v>48.25</v>
      </c>
    </row>
    <row r="35" spans="1:8" x14ac:dyDescent="0.25">
      <c r="A35" s="3">
        <v>46171</v>
      </c>
      <c r="B35" s="21" t="s">
        <v>17</v>
      </c>
      <c r="C35" s="21" t="s">
        <v>55</v>
      </c>
      <c r="D35" s="13"/>
      <c r="E35" s="14"/>
      <c r="F35" s="15"/>
      <c r="G35" s="16">
        <v>24</v>
      </c>
      <c r="H35" s="17">
        <f t="shared" si="0"/>
        <v>24.25</v>
      </c>
    </row>
    <row r="36" spans="1:8" x14ac:dyDescent="0.25">
      <c r="A36" s="3">
        <v>46171</v>
      </c>
      <c r="B36" s="21" t="s">
        <v>17</v>
      </c>
      <c r="C36" s="21" t="s">
        <v>43</v>
      </c>
      <c r="D36" s="13" t="s">
        <v>42</v>
      </c>
      <c r="E36" s="14"/>
      <c r="F36" s="15"/>
      <c r="G36" s="16">
        <v>113.5</v>
      </c>
      <c r="H36" s="17">
        <f t="shared" si="0"/>
        <v>-89.25</v>
      </c>
    </row>
    <row r="37" spans="1:8" x14ac:dyDescent="0.25">
      <c r="A37" s="3">
        <v>46171</v>
      </c>
      <c r="B37" s="21" t="s">
        <v>17</v>
      </c>
      <c r="C37" s="21" t="s">
        <v>56</v>
      </c>
      <c r="D37" s="20" t="s">
        <v>19</v>
      </c>
      <c r="E37" s="14"/>
      <c r="F37" s="15"/>
      <c r="G37" s="16">
        <v>13.26</v>
      </c>
      <c r="H37" s="17">
        <f t="shared" si="0"/>
        <v>-102.51</v>
      </c>
    </row>
    <row r="38" spans="1:8" x14ac:dyDescent="0.25">
      <c r="A38" s="3">
        <v>46171</v>
      </c>
      <c r="B38" s="21" t="s">
        <v>17</v>
      </c>
      <c r="C38" s="21" t="s">
        <v>48</v>
      </c>
      <c r="D38" s="13" t="s">
        <v>24</v>
      </c>
      <c r="E38" s="14"/>
      <c r="F38" s="15"/>
      <c r="G38" s="16">
        <v>15.27</v>
      </c>
      <c r="H38" s="17">
        <f t="shared" si="0"/>
        <v>-117.78</v>
      </c>
    </row>
    <row r="39" spans="1:8" x14ac:dyDescent="0.25">
      <c r="A39" s="3">
        <v>46171</v>
      </c>
      <c r="B39" s="21" t="s">
        <v>17</v>
      </c>
      <c r="C39" s="21" t="s">
        <v>57</v>
      </c>
      <c r="D39" s="13">
        <v>58</v>
      </c>
      <c r="E39" s="14"/>
      <c r="F39" s="15"/>
      <c r="G39" s="16">
        <v>16.2</v>
      </c>
      <c r="H39" s="17">
        <f t="shared" si="0"/>
        <v>-133.97999999999999</v>
      </c>
    </row>
    <row r="40" spans="1:8" x14ac:dyDescent="0.25">
      <c r="A40" s="3">
        <v>46171</v>
      </c>
      <c r="B40" s="21" t="s">
        <v>17</v>
      </c>
      <c r="C40" s="21" t="s">
        <v>58</v>
      </c>
      <c r="D40" s="20" t="s">
        <v>19</v>
      </c>
      <c r="E40" s="14"/>
      <c r="F40" s="15"/>
      <c r="G40" s="16">
        <v>30</v>
      </c>
      <c r="H40" s="17">
        <f t="shared" si="0"/>
        <v>-163.98</v>
      </c>
    </row>
    <row r="41" spans="1:8" x14ac:dyDescent="0.25">
      <c r="A41" s="3">
        <v>46171</v>
      </c>
      <c r="B41" s="21" t="s">
        <v>17</v>
      </c>
      <c r="C41" s="21" t="s">
        <v>59</v>
      </c>
      <c r="D41" s="13">
        <v>80</v>
      </c>
      <c r="E41" s="14"/>
      <c r="F41" s="15"/>
      <c r="G41" s="16">
        <v>45</v>
      </c>
      <c r="H41" s="17">
        <f t="shared" si="0"/>
        <v>-208.98</v>
      </c>
    </row>
    <row r="42" spans="1:8" x14ac:dyDescent="0.25">
      <c r="A42" s="3">
        <v>46171</v>
      </c>
      <c r="B42" s="21" t="s">
        <v>17</v>
      </c>
      <c r="C42" s="21" t="s">
        <v>60</v>
      </c>
      <c r="D42" s="20" t="s">
        <v>19</v>
      </c>
      <c r="E42" s="14"/>
      <c r="F42" s="15"/>
      <c r="G42" s="16">
        <v>45</v>
      </c>
      <c r="H42" s="17">
        <f t="shared" si="0"/>
        <v>-253.98</v>
      </c>
    </row>
    <row r="43" spans="1:8" x14ac:dyDescent="0.25">
      <c r="A43" s="3">
        <v>46171</v>
      </c>
      <c r="B43" s="21" t="s">
        <v>22</v>
      </c>
      <c r="C43" s="21" t="s">
        <v>61</v>
      </c>
      <c r="D43" s="13">
        <v>194</v>
      </c>
      <c r="E43" s="14"/>
      <c r="F43" s="15"/>
      <c r="G43" s="16">
        <v>13.26</v>
      </c>
      <c r="H43" s="17">
        <f t="shared" si="0"/>
        <v>-267.24</v>
      </c>
    </row>
    <row r="44" spans="1:8" x14ac:dyDescent="0.25">
      <c r="A44" s="3">
        <v>46171</v>
      </c>
      <c r="B44" s="21" t="s">
        <v>18</v>
      </c>
      <c r="C44" s="22" t="s">
        <v>20</v>
      </c>
      <c r="D44" s="13"/>
      <c r="E44" s="14"/>
      <c r="F44" s="15">
        <v>1.79</v>
      </c>
      <c r="G44" s="16"/>
      <c r="H44" s="17">
        <f t="shared" si="0"/>
        <v>-265.45</v>
      </c>
    </row>
    <row r="45" spans="1:8" x14ac:dyDescent="0.25">
      <c r="A45" s="18">
        <v>46171</v>
      </c>
      <c r="B45" s="23" t="s">
        <v>16</v>
      </c>
      <c r="C45" s="23" t="s">
        <v>34</v>
      </c>
      <c r="D45" s="23"/>
      <c r="E45" s="23"/>
      <c r="F45" s="23"/>
      <c r="G45" s="23"/>
      <c r="H45" s="19">
        <f>H44</f>
        <v>-265.45</v>
      </c>
    </row>
  </sheetData>
  <autoFilter ref="A13:H14" xr:uid="{00000000-0009-0000-0000-000000000000}"/>
  <mergeCells count="6">
    <mergeCell ref="B6:D6"/>
    <mergeCell ref="B9:D9"/>
    <mergeCell ref="B10:D10"/>
    <mergeCell ref="B45:G45"/>
    <mergeCell ref="G22:G23"/>
    <mergeCell ref="B14:G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aead697-9e14-4eff-9857-338f9091fa30">QC62UYNDYMX5-1878088104-618920</_dlc_DocId>
    <_ip_UnifiedCompliancePolicyUIAction xmlns="http://schemas.microsoft.com/sharepoint/v3" xsi:nil="true"/>
    <_dlc_DocIdUrl xmlns="faead697-9e14-4eff-9857-338f9091fa30">
      <Url>https://daxxmidiacom.sharepoint.com/sites/Documentos/_layouts/15/DocIdRedir.aspx?ID=QC62UYNDYMX5-1878088104-618920</Url>
      <Description>QC62UYNDYMX5-1878088104-618920</Description>
    </_dlc_DocIdUrl>
    <_ip_UnifiedCompliancePolicyProperties xmlns="http://schemas.microsoft.com/sharepoint/v3" xsi:nil="true"/>
    <lcf76f155ced4ddcb4097134ff3c332f xmlns="50a03dbc-16fc-483b-bbf0-844b0e500ed5">
      <Terms xmlns="http://schemas.microsoft.com/office/infopath/2007/PartnerControls"/>
    </lcf76f155ced4ddcb4097134ff3c332f>
    <TaxCatchAll xmlns="faead697-9e14-4eff-9857-338f9091fa30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DDF21CA5BECF4A8A6BF205A5925622" ma:contentTypeVersion="21" ma:contentTypeDescription="Crie um novo documento." ma:contentTypeScope="" ma:versionID="e34fe2bfddbec90815c003f7bfeac65c">
  <xsd:schema xmlns:xsd="http://www.w3.org/2001/XMLSchema" xmlns:xs="http://www.w3.org/2001/XMLSchema" xmlns:p="http://schemas.microsoft.com/office/2006/metadata/properties" xmlns:ns1="http://schemas.microsoft.com/sharepoint/v3" xmlns:ns2="faead697-9e14-4eff-9857-338f9091fa30" xmlns:ns3="50a03dbc-16fc-483b-bbf0-844b0e500ed5" targetNamespace="http://schemas.microsoft.com/office/2006/metadata/properties" ma:root="true" ma:fieldsID="7931ea1b97ae2b3da8c90d076d355ecb" ns1:_="" ns2:_="" ns3:_="">
    <xsd:import namespace="http://schemas.microsoft.com/sharepoint/v3"/>
    <xsd:import namespace="faead697-9e14-4eff-9857-338f9091fa30"/>
    <xsd:import namespace="50a03dbc-16fc-483b-bbf0-844b0e500ed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2:SharedWithUsers" minOccurs="0"/>
                <xsd:element ref="ns2:SharedWithDetail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ad697-9e14-4eff-9857-338f9091fa3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d4c9d4c-35be-4456-ac2b-3df45426ed5c}" ma:internalName="TaxCatchAll" ma:showField="CatchAllData" ma:web="faead697-9e14-4eff-9857-338f9091fa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03dbc-16fc-483b-bbf0-844b0e500e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85c9b4-4a4f-4400-8374-2499896ad3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8B8B9-1236-42EC-860B-8FFFF007629A}">
  <ds:schemaRefs/>
</ds:datastoreItem>
</file>

<file path=customXml/itemProps2.xml><?xml version="1.0" encoding="utf-8"?>
<ds:datastoreItem xmlns:ds="http://schemas.openxmlformats.org/officeDocument/2006/customXml" ds:itemID="{5C372FDD-99BF-4451-BE9F-7A0FA036764E}">
  <ds:schemaRefs/>
</ds:datastoreItem>
</file>

<file path=customXml/itemProps3.xml><?xml version="1.0" encoding="utf-8"?>
<ds:datastoreItem xmlns:ds="http://schemas.openxmlformats.org/officeDocument/2006/customXml" ds:itemID="{04B1D0F8-7B72-466A-B5AC-6A3D218A2DD5}">
  <ds:schemaRefs/>
</ds:datastoreItem>
</file>

<file path=customXml/itemProps4.xml><?xml version="1.0" encoding="utf-8"?>
<ds:datastoreItem xmlns:ds="http://schemas.openxmlformats.org/officeDocument/2006/customXml" ds:itemID="{B330D857-F8B1-41CD-AA90-993BCF7196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Oliveira</dc:creator>
  <cp:lastModifiedBy>Cristina Oliveira</cp:lastModifiedBy>
  <dcterms:created xsi:type="dcterms:W3CDTF">2024-12-23T18:25:00Z</dcterms:created>
  <dcterms:modified xsi:type="dcterms:W3CDTF">2026-06-01T16:45:28Z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0x010100E1DDF21CA5BECF4A8A6BF205A5925622</vt:lpwstr>
  </property>
  <property fmtid="{D5CDD505-2E9C-101B-9397-08002B2CF9AE}" pid="4" name="_dlc_DocIdItemGuid">
    <vt:lpwstr>94fa71a4-12eb-4d1a-98be-45e1a529009c</vt:lpwstr>
  </property>
  <property fmtid="{D5CDD505-2E9C-101B-9397-08002B2CF9AE}" pid="5" name="ICV">
    <vt:lpwstr>9567625058B040A0BE7F8B1FFFADA9B2_12</vt:lpwstr>
  </property>
  <property fmtid="{D5CDD505-2E9C-101B-9397-08002B2CF9AE}" pid="6" name="KSOProductBuildVer">
    <vt:lpwstr>1046-12.2.0.23196</vt:lpwstr>
  </property>
</Properties>
</file>